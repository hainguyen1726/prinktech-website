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giá Tem UV DT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'-'"/>
    <numFmt numFmtId="165" formatCode="0.00&quot; m&quot;"/>
    <numFmt numFmtId="166" formatCode="#,##0&quot; ₫&quot;"/>
    <numFmt numFmtId="167" formatCode="#,##0.0&quot; ₫&quot;"/>
  </numFmts>
  <fonts count="14">
    <font>
      <name val="Calibri"/>
      <family val="2"/>
      <color theme="1"/>
      <sz val="11"/>
      <scheme val="minor"/>
    </font>
    <font>
      <name val="Segoe UI"/>
      <b val="1"/>
      <color rgb="004B0082"/>
      <sz val="14"/>
    </font>
    <font>
      <name val="Segoe UI"/>
      <i val="1"/>
      <color rgb="00475569"/>
      <sz val="9.5"/>
    </font>
    <font>
      <name val="Segoe UI"/>
      <b val="1"/>
      <color rgb="001E293B"/>
      <sz val="10"/>
    </font>
    <font>
      <name val="Segoe UI"/>
      <b val="1"/>
      <color rgb="00FFFFFF"/>
      <sz val="10"/>
    </font>
    <font>
      <name val="Segoe UI"/>
      <color rgb="00002060"/>
      <sz val="10"/>
    </font>
    <font>
      <name val="Segoe UI"/>
      <color rgb="00000000"/>
      <sz val="10"/>
    </font>
    <font>
      <name val="Segoe UI"/>
      <b val="1"/>
      <color rgb="00000000"/>
      <sz val="10.5"/>
    </font>
    <font>
      <name val="Segoe UI"/>
      <b val="1"/>
      <color rgb="00DB2777"/>
      <sz val="11"/>
    </font>
    <font>
      <name val="Segoe UI"/>
      <b val="1"/>
      <color rgb="004B0082"/>
      <sz val="10"/>
    </font>
    <font>
      <name val="Segoe UI"/>
      <i val="1"/>
      <color rgb="00555555"/>
      <sz val="9"/>
    </font>
    <font>
      <name val="Segoe UI"/>
      <b val="1"/>
      <color rgb="00002060"/>
      <sz val="9.5"/>
    </font>
    <font>
      <name val="Segoe UI"/>
      <color rgb="00000000"/>
      <sz val="9.5"/>
    </font>
    <font>
      <name val="Segoe UI"/>
      <i val="1"/>
      <color rgb="0094A3B8"/>
      <sz val="9.5"/>
    </font>
  </fonts>
  <fills count="7">
    <fill>
      <patternFill/>
    </fill>
    <fill>
      <patternFill patternType="gray125"/>
    </fill>
    <fill>
      <patternFill patternType="solid">
        <fgColor rgb="00F9F5FF"/>
        <bgColor rgb="00F9F5FF"/>
      </patternFill>
    </fill>
    <fill>
      <patternFill patternType="solid">
        <fgColor rgb="004B0082"/>
        <bgColor rgb="004B0082"/>
      </patternFill>
    </fill>
    <fill>
      <patternFill patternType="solid">
        <fgColor rgb="00FFF5FA"/>
        <bgColor rgb="00FFF5FA"/>
      </patternFill>
    </fill>
    <fill>
      <patternFill patternType="solid">
        <fgColor rgb="00E8E0FF"/>
        <bgColor rgb="00E8E0FF"/>
      </patternFill>
    </fill>
    <fill>
      <patternFill patternType="solid">
        <fgColor rgb="00FFEAF2"/>
        <bgColor rgb="00FFEAF2"/>
      </patternFill>
    </fill>
  </fills>
  <borders count="1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D9D9D9"/>
      </left>
      <right style="thin">
        <color rgb="00D9D9D9"/>
      </right>
      <top style="thin">
        <color rgb="007F7F7F"/>
      </top>
      <bottom style="double">
        <color rgb="007F7F7F"/>
      </bottom>
    </border>
    <border>
      <left style="thin">
        <color rgb="00D9D9D9"/>
      </left>
      <top style="thin">
        <color rgb="00D9D9D9"/>
      </top>
      <bottom style="thin">
        <color rgb="00D9D9D9"/>
      </bottom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top style="thin">
        <color rgb="00D9D9D9"/>
      </top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left style="thin">
        <color rgb="00D9D9D9"/>
      </left>
    </border>
    <border/>
    <border>
      <right style="thin">
        <color rgb="00D9D9D9"/>
      </right>
    </border>
    <border>
      <left style="thin">
        <color rgb="00D9D9D9"/>
      </left>
      <bottom style="thin">
        <color rgb="00D9D9D9"/>
      </bottom>
    </border>
    <border>
      <bottom style="thin">
        <color rgb="00D9D9D9"/>
      </bottom>
    </border>
    <border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 indent="1"/>
    </xf>
    <xf numFmtId="164" fontId="5" fillId="2" borderId="1" applyAlignment="1" pivotButton="0" quotePrefix="0" xfId="0">
      <alignment horizontal="right" vertical="center"/>
    </xf>
    <xf numFmtId="165" fontId="5" fillId="2" borderId="1" applyAlignment="1" pivotButton="0" quotePrefix="0" xfId="0">
      <alignment horizontal="right" vertical="center"/>
    </xf>
    <xf numFmtId="166" fontId="5" fillId="2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167" fontId="6" fillId="2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 indent="1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7" fillId="5" borderId="3" applyAlignment="1" pivotButton="0" quotePrefix="0" xfId="0">
      <alignment horizontal="left" vertical="center" indent="1"/>
    </xf>
    <xf numFmtId="0" fontId="0" fillId="5" borderId="3" pivotButton="0" quotePrefix="0" xfId="0"/>
    <xf numFmtId="164" fontId="7" fillId="5" borderId="3" applyAlignment="1" pivotButton="0" quotePrefix="0" xfId="0">
      <alignment horizontal="right" vertical="center"/>
    </xf>
    <xf numFmtId="165" fontId="7" fillId="5" borderId="3" applyAlignment="1" pivotButton="0" quotePrefix="0" xfId="0">
      <alignment horizontal="right" vertical="center"/>
    </xf>
    <xf numFmtId="166" fontId="7" fillId="5" borderId="3" applyAlignment="1" pivotButton="0" quotePrefix="0" xfId="0">
      <alignment horizontal="right" vertical="center"/>
    </xf>
    <xf numFmtId="167" fontId="7" fillId="5" borderId="3" applyAlignment="1" pivotButton="0" quotePrefix="0" xfId="0">
      <alignment horizontal="right" vertical="center"/>
    </xf>
    <xf numFmtId="0" fontId="6" fillId="0" borderId="4" applyAlignment="1" pivotButton="0" quotePrefix="0" xfId="0">
      <alignment horizontal="right" vertical="center"/>
    </xf>
    <xf numFmtId="0" fontId="0" fillId="0" borderId="5" pivotButton="0" quotePrefix="0" xfId="0"/>
    <xf numFmtId="166" fontId="6" fillId="0" borderId="6" applyAlignment="1" pivotButton="0" quotePrefix="0" xfId="0">
      <alignment horizontal="right" vertical="center"/>
    </xf>
    <xf numFmtId="0" fontId="7" fillId="6" borderId="4" applyAlignment="1" pivotButton="0" quotePrefix="0" xfId="0">
      <alignment horizontal="right" vertical="center"/>
    </xf>
    <xf numFmtId="166" fontId="8" fillId="6" borderId="6" applyAlignment="1" pivotButton="0" quotePrefix="0" xfId="0">
      <alignment horizontal="right" vertical="center"/>
    </xf>
    <xf numFmtId="0" fontId="9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10" fillId="0" borderId="10" applyAlignment="1" pivotButton="0" quotePrefix="0" xfId="0">
      <alignment horizontal="left" vertical="center" indent="1"/>
    </xf>
    <xf numFmtId="0" fontId="11" fillId="0" borderId="11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12" fillId="0" borderId="11" applyAlignment="1" pivotButton="0" quotePrefix="0" xfId="0">
      <alignment horizontal="left" vertical="center" wrapText="1"/>
    </xf>
    <xf numFmtId="0" fontId="10" fillId="0" borderId="13" applyAlignment="1" pivotButton="0" quotePrefix="0" xfId="0">
      <alignment horizontal="left" vertical="center" indent="1"/>
    </xf>
    <xf numFmtId="0" fontId="12" fillId="0" borderId="14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933950" cy="111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 ht="32" customHeight="1">
      <c r="D1" s="1" t="inlineStr">
        <is>
          <t>BẢNG BÁO GIÁ IN TEM UV DTF NỔI 3D</t>
        </is>
      </c>
    </row>
    <row r="2" ht="20" customHeight="1">
      <c r="D2" s="2" t="inlineStr">
        <is>
          <t>Dự án: Bia thủ công DSP (Phân bổ cuộn 25m) · Khổ in 60cm</t>
        </is>
      </c>
    </row>
    <row r="3" ht="18" customHeight="1">
      <c r="D3" s="2" t="inlineStr">
        <is>
          <t>Hotline / Zalo: 0822.968.412   |   Email: gmkt2303@gmail.com</t>
        </is>
      </c>
    </row>
    <row r="4" ht="18" customHeight="1">
      <c r="D4" s="2" t="inlineStr">
        <is>
          <t>Công nghệ in nổi 3D cao cấp — Đắp 4–6 lớp mực trắng — Phủ bóng Varnish</t>
        </is>
      </c>
    </row>
    <row r="5" ht="12" customHeight="1"/>
    <row r="6" ht="25" customHeight="1">
      <c r="A6" s="3" t="inlineStr">
        <is>
          <t xml:space="preserve"> Khách hàng: Bia thủ công DSP (5 mẫu tem × 500 cái)</t>
        </is>
      </c>
      <c r="B6" s="4" t="n"/>
      <c r="C6" s="4" t="n"/>
      <c r="D6" s="3" t="inlineStr">
        <is>
          <t xml:space="preserve"> Quy cách in: Cuộn UV DTF Khổ 60cm (Vùng in tối đa 58cm)</t>
        </is>
      </c>
      <c r="E6" s="4" t="n"/>
      <c r="F6" s="4" t="n"/>
      <c r="G6" s="4" t="n"/>
      <c r="H6" s="4" t="n"/>
    </row>
    <row r="7" ht="10" customHeight="1"/>
    <row r="8" ht="32" customHeight="1">
      <c r="A8" s="5" t="inlineStr">
        <is>
          <t>STT</t>
        </is>
      </c>
      <c r="B8" s="5" t="inlineStr">
        <is>
          <t>Loại sản phẩm (Tem dán bia DSP)</t>
        </is>
      </c>
      <c r="C8" s="5" t="inlineStr">
        <is>
          <t>Kích thước</t>
        </is>
      </c>
      <c r="D8" s="5" t="inlineStr">
        <is>
          <t>Số lượng
(cái)</t>
        </is>
      </c>
      <c r="E8" s="5" t="inlineStr">
        <is>
          <t>Dài phân bổ
(m)</t>
        </is>
      </c>
      <c r="F8" s="5" t="inlineStr">
        <is>
          <t>Đơn giá in
(đ/m)</t>
        </is>
      </c>
      <c r="G8" s="5" t="inlineStr">
        <is>
          <t>Thành tiền
(chưa VAT)</t>
        </is>
      </c>
      <c r="H8" s="5" t="inlineStr">
        <is>
          <t>Đơn giá
(đ/cái)</t>
        </is>
      </c>
    </row>
    <row r="9" ht="34" customHeight="1">
      <c r="A9" s="6" t="n">
        <v>1</v>
      </c>
      <c r="B9" s="7" t="inlineStr">
        <is>
          <t>Tem 3 (Nhỏ - Chữ nhật ngang) - Xếp dọc 34 cột × 15 hàng</t>
        </is>
      </c>
      <c r="C9" s="6" t="inlineStr">
        <is>
          <t>4.5 × 1.5 cm</t>
        </is>
      </c>
      <c r="D9" s="8" t="n">
        <v>500</v>
      </c>
      <c r="E9" s="9" t="n">
        <v>0.75</v>
      </c>
      <c r="F9" s="10" t="n">
        <v>145000</v>
      </c>
      <c r="G9" s="11">
        <f>E9*F9</f>
        <v/>
      </c>
      <c r="H9" s="12">
        <f>G9/D9</f>
        <v/>
      </c>
    </row>
    <row r="10" ht="34" customHeight="1">
      <c r="A10" s="13" t="n">
        <v>2</v>
      </c>
      <c r="B10" s="14" t="inlineStr">
        <is>
          <t>Tem 1 (Khiên - Cổ chai) - Xoay ngang 11 cột × 46 hàng</t>
        </is>
      </c>
      <c r="C10" s="13" t="inlineStr">
        <is>
          <t>4.5 × 5.0 cm</t>
        </is>
      </c>
      <c r="D10" s="15" t="n">
        <v>500</v>
      </c>
      <c r="E10" s="16" t="n">
        <v>2.3</v>
      </c>
      <c r="F10" s="17" t="n">
        <v>145000</v>
      </c>
      <c r="G10" s="11">
        <f>E10*F10</f>
        <v/>
      </c>
      <c r="H10" s="18">
        <f>G10/D10</f>
        <v/>
      </c>
    </row>
    <row r="11" ht="34" customHeight="1">
      <c r="A11" s="6" t="n">
        <v>3</v>
      </c>
      <c r="B11" s="7" t="inlineStr">
        <is>
          <t>Tem 5 (Trung - Chữ nhật ngang) - Xoay dọc 8 cột × 63 hàng</t>
        </is>
      </c>
      <c r="C11" s="6" t="inlineStr">
        <is>
          <t>10.0 × 7.0 cm</t>
        </is>
      </c>
      <c r="D11" s="8" t="n">
        <v>500</v>
      </c>
      <c r="E11" s="9" t="n">
        <v>6.84</v>
      </c>
      <c r="F11" s="10" t="n">
        <v>145000</v>
      </c>
      <c r="G11" s="11">
        <f>E11*F11</f>
        <v/>
      </c>
      <c r="H11" s="12">
        <f>G11/D11</f>
        <v/>
      </c>
    </row>
    <row r="12" ht="34" customHeight="1">
      <c r="A12" s="13" t="n">
        <v>4</v>
      </c>
      <c r="B12" s="14" t="inlineStr">
        <is>
          <t>Tem 2 (Thân - Chữ nhật đứng) - Xoay ngang 6 cột × 84 hàng</t>
        </is>
      </c>
      <c r="C12" s="13" t="inlineStr">
        <is>
          <t>7.5 × 9.5 cm</t>
        </is>
      </c>
      <c r="D12" s="15" t="n">
        <v>500</v>
      </c>
      <c r="E12" s="16" t="n">
        <v>6.9</v>
      </c>
      <c r="F12" s="17" t="n">
        <v>145000</v>
      </c>
      <c r="G12" s="11">
        <f>E12*F12</f>
        <v/>
      </c>
      <c r="H12" s="18">
        <f>G12/D12</f>
        <v/>
      </c>
    </row>
    <row r="13" ht="34" customHeight="1">
      <c r="A13" s="6" t="n">
        <v>5</v>
      </c>
      <c r="B13" s="7" t="inlineStr">
        <is>
          <t>Tem 4 (Rất lớn - Chữ nhật ngang) - Giữ nguyên 5 cột × 100 hàng</t>
        </is>
      </c>
      <c r="C13" s="6" t="inlineStr">
        <is>
          <t>11.0 × 7.5 cm</t>
        </is>
      </c>
      <c r="D13" s="8" t="n">
        <v>500</v>
      </c>
      <c r="E13" s="9" t="n">
        <v>8.210000000000001</v>
      </c>
      <c r="F13" s="10" t="n">
        <v>145000</v>
      </c>
      <c r="G13" s="11">
        <f>E13*F13</f>
        <v/>
      </c>
      <c r="H13" s="12">
        <f>G13/D13</f>
        <v/>
      </c>
    </row>
    <row r="14" ht="26" customHeight="1">
      <c r="A14" s="19" t="inlineStr">
        <is>
          <t>Tổng cộng</t>
        </is>
      </c>
      <c r="B14" s="20" t="n"/>
      <c r="C14" s="20" t="n"/>
      <c r="D14" s="21">
        <f>SUM(D9:D13)</f>
        <v/>
      </c>
      <c r="E14" s="22">
        <f>SUM(E9:E13)</f>
        <v/>
      </c>
      <c r="F14" s="20" t="n"/>
      <c r="G14" s="23">
        <f>SUM(G9:G13)</f>
        <v/>
      </c>
      <c r="H14" s="24">
        <f>G14/D14</f>
        <v/>
      </c>
    </row>
    <row r="15" ht="12" customHeight="1"/>
    <row r="16" ht="20" customHeight="1">
      <c r="F16" s="25" t="inlineStr">
        <is>
          <t>Cộng tiền hàng (chưa VAT):</t>
        </is>
      </c>
      <c r="G16" s="26" t="n"/>
      <c r="H16" s="27">
        <f>G14</f>
        <v/>
      </c>
    </row>
    <row r="17" ht="20" customHeight="1">
      <c r="F17" s="25" t="inlineStr">
        <is>
          <t>Thuế VAT (8%):</t>
        </is>
      </c>
      <c r="G17" s="26" t="n"/>
      <c r="H17" s="27">
        <f>H16*0.08</f>
        <v/>
      </c>
    </row>
    <row r="18" ht="24" customHeight="1">
      <c r="F18" s="28" t="inlineStr">
        <is>
          <t>TỔNG THANH TOÁN (gồm 8% VAT):</t>
        </is>
      </c>
      <c r="G18" s="26" t="n"/>
      <c r="H18" s="29">
        <f>H16+H17</f>
        <v/>
      </c>
    </row>
    <row r="19" ht="15" customHeight="1"/>
    <row r="20">
      <c r="B20" s="30" t="inlineStr">
        <is>
          <t>THÔNG TIN THANH TOÁN &amp; ĐIỀU KHOẢN (GMKT VIỆT NAM)</t>
        </is>
      </c>
      <c r="C20" s="31" t="n"/>
      <c r="D20" s="31" t="n"/>
      <c r="E20" s="31" t="n"/>
      <c r="F20" s="31" t="n"/>
      <c r="G20" s="31" t="n"/>
      <c r="H20" s="32" t="n"/>
    </row>
    <row r="21" ht="20" customHeight="1">
      <c r="B21" s="33" t="inlineStr">
        <is>
          <t>Ngân hàng:</t>
        </is>
      </c>
      <c r="C21" s="34" t="inlineStr">
        <is>
          <t>Vietinbank</t>
        </is>
      </c>
      <c r="D21" s="35" t="n"/>
      <c r="E21" s="35" t="n"/>
      <c r="F21" s="35" t="n"/>
      <c r="G21" s="35" t="n"/>
      <c r="H21" s="36" t="n"/>
    </row>
    <row r="22" ht="20" customHeight="1">
      <c r="B22" s="33" t="inlineStr">
        <is>
          <t>Số tài khoản:</t>
        </is>
      </c>
      <c r="C22" s="34" t="inlineStr">
        <is>
          <t>110602191866</t>
        </is>
      </c>
      <c r="D22" s="35" t="n"/>
      <c r="E22" s="35" t="n"/>
      <c r="F22" s="35" t="n"/>
      <c r="G22" s="35" t="n"/>
      <c r="H22" s="36" t="n"/>
    </row>
    <row r="23" ht="20" customHeight="1">
      <c r="B23" s="33" t="inlineStr">
        <is>
          <t>Chủ tài khoản:</t>
        </is>
      </c>
      <c r="C23" s="34" t="inlineStr">
        <is>
          <t>CÔNG TY TNHH GMKT VIỆT NAM</t>
        </is>
      </c>
      <c r="D23" s="35" t="n"/>
      <c r="E23" s="35" t="n"/>
      <c r="F23" s="35" t="n"/>
      <c r="G23" s="35" t="n"/>
      <c r="H23" s="36" t="n"/>
    </row>
    <row r="24" ht="20" customHeight="1">
      <c r="B24" s="33" t="inlineStr">
        <is>
          <t>Ghi chú kỹ thuật:</t>
        </is>
      </c>
      <c r="C24" s="37" t="inlineStr">
        <is>
          <t>File vector (AI, PDF, CDR, EPS). Khổ in cuộn bế sẵn demi 58cm.</t>
        </is>
      </c>
      <c r="D24" s="35" t="n"/>
      <c r="E24" s="35" t="n"/>
      <c r="F24" s="35" t="n"/>
      <c r="G24" s="35" t="n"/>
      <c r="H24" s="36" t="n"/>
    </row>
    <row r="25" ht="20" customHeight="1">
      <c r="B25" s="33" t="inlineStr">
        <is>
          <t>Thời gian:</t>
        </is>
      </c>
      <c r="C25" s="37" t="inlineStr">
        <is>
          <t>Giao hàng trong vòng 24h kể từ khi duyệt ma-két thiết kế.</t>
        </is>
      </c>
      <c r="D25" s="35" t="n"/>
      <c r="E25" s="35" t="n"/>
      <c r="F25" s="35" t="n"/>
      <c r="G25" s="35" t="n"/>
      <c r="H25" s="36" t="n"/>
    </row>
    <row r="26" ht="20" customHeight="1">
      <c r="B26" s="38" t="inlineStr">
        <is>
          <t>Vận chuyển:</t>
        </is>
      </c>
      <c r="C26" s="39" t="inlineStr">
        <is>
          <t>Miễn phí vận chuyển toàn quốc cho đơn hàng ghép cuộn.</t>
        </is>
      </c>
      <c r="D26" s="40" t="n"/>
      <c r="E26" s="40" t="n"/>
      <c r="F26" s="40" t="n"/>
      <c r="G26" s="40" t="n"/>
      <c r="H26" s="41" t="n"/>
    </row>
    <row r="28" ht="20" customHeight="1">
      <c r="B28" s="42" t="inlineStr">
        <is>
          <t>Người Lập Báo Giá</t>
        </is>
      </c>
      <c r="F28" s="42" t="inlineStr">
        <is>
          <t>Đại Diện GMKT Việt Nam</t>
        </is>
      </c>
    </row>
    <row r="29" ht="45" customHeight="1"/>
    <row r="30" ht="20" customHeight="1">
      <c r="B30" s="43" t="inlineStr">
        <is>
          <t>(Ký, ghi rõ họ tên)</t>
        </is>
      </c>
      <c r="F30" s="43" t="inlineStr">
        <is>
          <t>(Ký tên, đóng dấu)</t>
        </is>
      </c>
    </row>
  </sheetData>
  <mergeCells count="20">
    <mergeCell ref="C25:H25"/>
    <mergeCell ref="F16:G16"/>
    <mergeCell ref="C22:H22"/>
    <mergeCell ref="D1:H1"/>
    <mergeCell ref="B20:H20"/>
    <mergeCell ref="C21:H21"/>
    <mergeCell ref="D6:H6"/>
    <mergeCell ref="F28:H28"/>
    <mergeCell ref="D2:H2"/>
    <mergeCell ref="F18:G18"/>
    <mergeCell ref="C23:H23"/>
    <mergeCell ref="F30:H30"/>
    <mergeCell ref="F17:G17"/>
    <mergeCell ref="B28:C28"/>
    <mergeCell ref="D4:H4"/>
    <mergeCell ref="D3:H3"/>
    <mergeCell ref="C24:H24"/>
    <mergeCell ref="B30:C30"/>
    <mergeCell ref="A6:C6"/>
    <mergeCell ref="C26:H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2026-07-11T02:44:12Z</dcterms:created>
  <dcterms:modified xmlns:dcterms="http://purl.org/dc/terms/" xmlns:xsi="http://www.w3.org/2001/XMLSchema-instance" xsi:type="dcterms:W3CDTF">2026-07-11T02:44:12Z</dcterms:modified>
</cp:coreProperties>
</file>